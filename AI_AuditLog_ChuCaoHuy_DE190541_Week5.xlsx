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wp\"/>
    </mc:Choice>
  </mc:AlternateContent>
  <xr:revisionPtr revIDLastSave="0" documentId="13_ncr:1_{9262892F-99F4-4511-AA81-2C411EA208E1}" xr6:coauthVersionLast="47" xr6:coauthVersionMax="47" xr10:uidLastSave="{00000000-0000-0000-0000-000000000000}"/>
  <bookViews>
    <workbookView xWindow="-108" yWindow="-108" windowWidth="23256" windowHeight="1317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 r="B14" i="1"/>
</calcChain>
</file>

<file path=xl/sharedStrings.xml><?xml version="1.0" encoding="utf-8"?>
<sst xmlns="http://schemas.openxmlformats.org/spreadsheetml/2006/main" count="143" uniqueCount="122">
  <si>
    <t>AI AUDIT LOG - METADATA &amp; SUMMARY (WEEK 5)</t>
  </si>
  <si>
    <t>STUDENT INFORMATION</t>
  </si>
  <si>
    <t>Student Name:</t>
  </si>
  <si>
    <t>Chu Cao Huy</t>
  </si>
  <si>
    <t>Student ID:</t>
  </si>
  <si>
    <t>DE190541</t>
  </si>
  <si>
    <t>Course:</t>
  </si>
  <si>
    <t>Assignment / Project:</t>
  </si>
  <si>
    <t>Hệ thống hỗ trợ đặt lịch khám bệnh (MedBooking)</t>
  </si>
  <si>
    <t>Week:</t>
  </si>
  <si>
    <t>Tuần 5 (Giai đoạn Tích hợp AI nâng cao &amp; Tối ưu hóa hiệu năng)</t>
  </si>
  <si>
    <t>AI USAGE SUMMARY</t>
  </si>
  <si>
    <t>Total Prompts Used (Week 5):</t>
  </si>
  <si>
    <t>Core Prompts Logged:</t>
  </si>
  <si>
    <t>Selection Ratio:</t>
  </si>
  <si>
    <t>Hallucination Detected:</t>
  </si>
  <si>
    <t>AI Tool</t>
  </si>
  <si>
    <t>Purpose</t>
  </si>
  <si>
    <t>Frequency</t>
  </si>
  <si>
    <t>Main Value</t>
  </si>
  <si>
    <t>ChatGPT-4o</t>
  </si>
  <si>
    <t>Tối ưu hóa các truy vấn thuật toán phức tạp và sinh cấu trúc mã nguồn.</t>
  </si>
  <si>
    <t>High</t>
  </si>
  <si>
    <t>Hỗ trợ sửa lỗi logic re-render và sinh thuật toán chấm điểm PHQ-9.</t>
  </si>
  <si>
    <t>Claude 3.5 Sonnet</t>
  </si>
  <si>
    <t>Phân tích kiến trúc, review hiệu năng Virtual List và phát hiện lỗi thư viện.</t>
  </si>
  <si>
    <t>Medium</t>
  </si>
  <si>
    <t>Phát hiện lỗ hổng API OCR đơn thuốc và tối ưu hóa DOM nodes.</t>
  </si>
  <si>
    <t>CORE PROMPTS DISTRIBUTION BY DTC COMPONENT (WEEK 5)</t>
  </si>
  <si>
    <t>DTC Component</t>
  </si>
  <si>
    <t>Number of Prompts</t>
  </si>
  <si>
    <t>Required (Min)</t>
  </si>
  <si>
    <t>Decomposition</t>
  </si>
  <si>
    <t>≥ 1</t>
  </si>
  <si>
    <t>Pattern Recognition</t>
  </si>
  <si>
    <t>Abstraction</t>
  </si>
  <si>
    <t>Algorithms</t>
  </si>
  <si>
    <t>Total</t>
  </si>
  <si>
    <t>Entry #</t>
  </si>
  <si>
    <t>Prompt Type</t>
  </si>
  <si>
    <t>Stage/Component</t>
  </si>
  <si>
    <t>Problem/Context</t>
  </si>
  <si>
    <t>Prompt to AI</t>
  </si>
  <si>
    <t>AI Response (Summary)</t>
  </si>
  <si>
    <t>Human Delta &amp; Reflection</t>
  </si>
  <si>
    <t>Evidence</t>
  </si>
  <si>
    <t>Component Design</t>
  </si>
  <si>
    <t>Xây dựng tính năng Quét đơn thuốc thông minh bằng AI OCR (UC-P20). Cần phân rã giao diện camera capture, xem trước ảnh, trạng thái loading khi chờ xử lý ảnh từ AI, và bảng kết quả trích xuất dữ liệu thô.</t>
  </si>
  <si>
    <t>"""Break down the AI OCR Prescription Scanner interface into dynamic React components. The flow starts with camera initiation, real-time image capture or file upload, loading state while AI extracts text, and a final editable preview table showing Extracted Drug Name, Dosage, and Duration."""</t>
  </si>
  <si>
    <t>Claude gợi ý kiến trúc phân rã gồm 4 components cốt lõi:
1. PrescriptionScanner (Container quản lý state chính).
2. CameraCapture (Tích hợp react-html5-camera-photo để stream camera thực tế).
3. ProcessingOverlay (Hiển thị hiệu ứng skeleton loading chạy mờ).
4. ExtractedDataGrid (Sử dụng Material-UI Table để hiển thị dữ liệu văn bản trích xuất thô).</t>
  </si>
  <si>
    <t>Từ chối thư viện react-html5-camera-photo do dung lượng bundle quá nặng và không tùy biến được khung ngắm dạng scanner cho người dùng. Tự viết CustomCamera bằng HTML5 &lt;video&gt; API kết hợp Canvas để chụp hình mượt hơn.
Đối với ExtractedDataGrid, tích hợp trực tiếp cơ chế Inline Editing để bệnh nhân có thể nhấn vào sửa ngay lập tức nếu AI OCR nhận diện sai tên thuốc y tế, thay vì chỉ hiển thị bảng tĩnh Read-only như Claude đề xuất ban đầu.</t>
  </si>
  <si>
    <t>frontend/src/components/patient/ai-ocr/CustomCamera.tsx
frontend/src/components/patient/ai-ocr/ExtractedDataGrid.tsx</t>
  </si>
  <si>
    <t>Algorithm Integration</t>
  </si>
  <si>
    <t>Thiết kế thuật toán tự động chấm điểm bài test tâm lý PHQ-9 (9 câu hỏi sàng lọc trầm cảm) thuộc module Tiện ích sức khỏe (UC-P25). Hệ thống cần tính tổng điểm tự động, phân loại mức độ và đưa ra khuyến nghị y tế phù hợp.</t>
  </si>
  <si>
    <t>"""Write a JavaScript/TypeScript function to calculate the score of a PHQ-9 questionnaire asset. It accepts an array of 9 integers (values 0-3). Output the total score, severity classification (Minimal, Mild, Moderate, Moderately Severe, Severe), and an actionable medical recommendation string based on standard clinical guidelines."""</t>
  </si>
  <si>
    <t>ChatGPT sinh một hàm thuần tính toán sum từ mảng đầu vào và sử dụng cấu trúc rẽ nhánh rườm rà if-else lồng nhau liên tục để phân loại mức độ từ Minimal (0-4) cho tới Severe (20-27). Đoạn code khuyến nghị y tế được hardcode chuỗi chữ tĩnh trực tiếp trong câu lệnh rẽ nhánh.</t>
  </si>
  <si>
    <t>Tái cấu trúc (Refactor) lại toàn bộ mã nguồn bằng cách bóc tách dải điểm phân loại thành một cấu trúc mảng hằng số (Configuration Array) dạng đối tượng giúp dễ bảo trì và mở rộng sau này, loại bỏ hoàn toàn các lệnh if-else lồng nhau gây rối mắt.
Bổ sung thêm một Edge-case quan trọng mà AI bỏ qua: Kiểm tra tính toàn vẹn của dữ liệu đầu vào. Nếu mảng truyền vào thiếu câu hỏi (ít hơn 9 câu) hoặc chứa giá trị nằm ngoài khoảng [0, 3], hàm sẽ lập tức ném lỗi (Validation Error) bảo vệ an toàn cho hệ thống dữ liệu.</t>
  </si>
  <si>
    <t>backend/src/utils/health-calculators/phq9Assessment.ts
shared/constants/clinical-guidelines.ts</t>
  </si>
  <si>
    <t>Performance Tuning</t>
  </si>
  <si>
    <t>Trang Lịch sử khám bệnh của Patient module (UC-P15) bị giật lag, đơ trình duyệt khi dữ liệu bệnh án kéo dài qua nhiều năm (vượt quá 500 bản ghi lịch sử kèm theo đơn thuốc chi tiết và ghi chú của bác sĩ).</t>
  </si>
  <si>
    <t>"""Optimize a long-scrolling Medical History list in React where each item includes nested components like prescription lists and doctor notes. The UI freezes during scroll when items exceed 500+. Recommend a rendering pattern to solve this performance bottleneck."""</t>
  </si>
  <si>
    <t>Claude nhận diện mẫu lỗi (Performance Issue Pattern) và đề xuất áp dụng giải pháp Virtualization (Danh sách ảo). Gợi ý cài đặt và bọc toàn bộ danh sách lịch sử y tế bằng thư viện bên thứ ba react-window, cấu hình chiều cao cố định itemSize={150} cho mỗi hàng trong danh sách.</t>
  </si>
  <si>
    <t>Áp dụng mẫu tư duy danh sách ảo (Virtual List Pattern) là hoàn toàn chuẩn xác. Tuy nhiên, đề xuất dùng itemSize={150} cố định của Claude bị lỗi vỡ giao diện ngay lập tức trong thực tế, do mỗi bản ghi bệnh án có độ dài ngắn khác nhau hoàn toàn (có đơn thuốc chứa 10 loại thuốc, có đơn chỉ chứa 1 loại).
Quyết định hủy bỏ cấu hình fixed-size của react-window, chuyển sang sử dụng thư viện @tanstack/react-virtual để kích thích cơ chế Dynamic Row Height (Đo lường kích thước phần tử động dựa trên DOM thực tế), giúp giao diện tự động co giãn vừa vặn và cuộn mượt mà đạt chuẩn 60 FPS.</t>
  </si>
  <si>
    <t>frontend/src/app/patient/medical-history/VirtualHistoryList.tsx</t>
  </si>
  <si>
    <t>API Optimization</t>
  </si>
  <si>
    <t>Khái quát hóa bộ lọc tìm kiếm và đồng bộ hóa trạng thái (Sync State) cho danh sách lịch sử khám bệnh của bác sĩ (Doctor Module - UC-P15). Khi người dùng chuyển đổi tab trạng thái (Đang khám, Đã khám, Đã hủy) hoặc gõ từ khóa tìm kiếm, URL query params phải tự động cập nhật đồng bộ.</t>
  </si>
  <si>
    <t>"""Design a clean React hook configuration to synchronize state (search query, filter status, page index) with URL search parameters using Next.js App Router hooks (useSearchParams, useRouter). Ensure it handles push state debouncing for text inputs to avoid rapid API requests."""</t>
  </si>
  <si>
    <t>ChatGPT cung cấp giải pháp xử lý sự kiện bằng cách gọi trực tiếp router.push() ngay bên trong hàm onChange của thẻ Input tìm kiếm văn bản. AI sử dụng state nội bộ (useState) để lưu từ khóa tạm thời nhưng không tích hợp bộ đếm trễ Debounce.</t>
  </si>
  <si>
    <t>Mã nguồn của AI tạo ra một lỗ hổng hiệu năng cực lớn: Khi người dùng gõ nhanh một từ khóa dài (ví dụ: 'Nguyễn Văn A'), router sẽ bị kích hoạt liên tục 13 lần liên tiếp, ép Next.js re-render và bắn API spam vào backend liên tục.
Khắc phục triệt để bằng cách trừu tượng hóa cơ chế đồng bộ này vào một custom hook `useUrlState`. Sử dụng hàm `useCallback` phối hợp với kỹ thuật `lodash.debounce` đặt độ trễ 400ms. Trạng thái URL chỉ bị thay đổi một lần duy nhất khi người dùng dừng gõ, giảm tải 90% số lượng API requests thừa thãi lên hệ thống mạng.</t>
  </si>
  <si>
    <t>frontend/src/hooks/useUrlState.ts
frontend/src/components/doctor/HistoryFilterBar.tsx</t>
  </si>
  <si>
    <t>Hallucination Type</t>
  </si>
  <si>
    <t>AI's Claim</t>
  </si>
  <si>
    <t>Reality Check</t>
  </si>
  <si>
    <t>How Detected</t>
  </si>
  <si>
    <t>Corrective Action</t>
  </si>
  <si>
    <t>Context/Security Misunderstanding</t>
  </si>
  <si>
    <t>Khi sinh mã cho chức năng quét đơn thuốc AI OCR, Claude khẳng định dữ liệu ảnh base64 tải lên từ phía Patient client có thể truyền trực tiếp qua URL query parameter sang API microservice xử lý văn bản bên ngoài cho nhanh.</t>
  </si>
  <si>
    <t>URL query parameters có giới hạn nghiêm ngặt về độ dài ký tự (thường là 2048 ký tự tùy trình duyệt). Một chuỗi ảnh mã hóa Base64 của đơn thuốc chụp thực tế nặng tới vài MB (hàng trăm ngàn ký tự), truyền qua URL sẽ gây ra lỗi lập tức '414 URI Too Long'. Hơn nữa, đẩy ảnh hồ sơ y tế chứa thông tin bệnh nhân lên URL là vi phạm nghiêm trọng bảo mật thông tin y tế.</t>
  </si>
  <si>
    <t>Tiến hành chạy thử nghiệm nhúng ảnh chụp đơn thuốc mẫu vào URL trên môi trường localhost → Trình duyệt lập tức báo lỗi sập luồng mạng 414. Đọc tài liệu chuẩn bảo mật API để đối chiếu.</t>
  </si>
  <si>
    <t>Hủy bỏ toàn bộ phương án truyền dữ liệu qua URL của AI. Chuyển đổi API sang phương thức HTTP POST, đóng gói file ảnh đơn thuốc vào định dạng chuẩn `Multipart/Form-Data` an toàn, xử lý luồng upload luân chuyển qua server đệm trước khi phân tích nhằm bảo mật tuyệt đối dữ liệu y tế.</t>
  </si>
  <si>
    <t>HALLUCINATION TYPES REFERENCE:</t>
  </si>
  <si>
    <t>Type</t>
  </si>
  <si>
    <t>Definition</t>
  </si>
  <si>
    <t>Fabrication</t>
  </si>
  <si>
    <t>AI tạo ra thông tin hoàn toàn không tồn tại (Fake APIs, thư viện ma).</t>
  </si>
  <si>
    <t>Oversimplification</t>
  </si>
  <si>
    <t>AI bỏ qua các trường hợp biên nguy hiểm (Edge cases), thiếu logic kiểm lỗi.</t>
  </si>
  <si>
    <t>Logic Error</t>
  </si>
  <si>
    <t>AI đưa ra giải pháp sai bản chất kỹ thuật hoặc không tối ưu hệ thống.</t>
  </si>
  <si>
    <t>Outdated Info</t>
  </si>
  <si>
    <t>AI sử dụng cú pháp cũ đã bị khai tử hoặc thư viện lỗi thời.</t>
  </si>
  <si>
    <t>Context Misunderstanding</t>
  </si>
  <si>
    <t>AI không hiểu rõ các ràng buộc thực tế hoặc chính sách bảo mật hệ thống.</t>
  </si>
  <si>
    <t>SELF-ASSESSMENT CHECKLIST (Trước khi nộp bài Tuần 5)</t>
  </si>
  <si>
    <t>A. KIỂM TRA CHẤT LƯỢNG MỖI ENTRY (Yêu cầu Pass ≥4/5 tiêu chí)</t>
  </si>
  <si>
    <t>#</t>
  </si>
  <si>
    <t>Tiêu chí đánh giá</t>
  </si>
  <si>
    <t>Trạng thái</t>
  </si>
  <si>
    <t>Ghi chú chi tiết</t>
  </si>
  <si>
    <t>Prompt này ảnh hưởng đến các quyết định kỹ thuật cốt lõi trong tuần 5 của đồ án?</t>
  </si>
  <si>
    <t>Pass</t>
  </si>
  <si>
    <t>Có, ảnh hưởng trực tiếp đến hiệu năng cuộn và cấu trúc module AI OCR.</t>
  </si>
  <si>
    <t>Nếu không có prompt này, cấu trúc mã nguồn hoặc giải pháp chạy thực tế có bị thay đổi?</t>
  </si>
  <si>
    <t>Có, giao diện sẽ bị đơ do render &gt;500 bản ghi cùng lúc hoặc dính lỗi URL quá dài.</t>
  </si>
  <si>
    <t>Bản thân bạn có thể giải thích tường tận lý do chọn hay bác bỏ gợi ý của AI?</t>
  </si>
  <si>
    <t>Giải thích rõ trong cột Human Delta ở cả 4 entries.</t>
  </si>
  <si>
    <t>Có minh chứng mã nguồn hoặc file minh họa cụ thể trong project (Evidence)?</t>
  </si>
  <si>
    <t>Toàn bộ entries đều đi kèm đường dẫn file code chính xác.</t>
  </si>
  <si>
    <t>Prompt thể hiện tư duy phản biện cá nhân chứ không chỉ sao chép nguyên bản AI?</t>
  </si>
  <si>
    <t>Có phản biện về dynamic item size và lỗ hổng spam router push.</t>
  </si>
  <si>
    <t>B. KIỂM TRA ĐIỀU KIỆN TỔNG THỂ LOG TUẦN 5</t>
  </si>
  <si>
    <t>Số lượng entries nằm trong tầm kiểm soát và phản ánh đúng tiến độ tuần?</t>
  </si>
  <si>
    <t>4 core entries tập trung cho các tính năng nâng cao.</t>
  </si>
  <si>
    <t>Mỗi thành phần tư duy máy tính (DTC component) có ít nhất 1 core prompt đại diện?</t>
  </si>
  <si>
    <t>Phân bổ đều: 1 Decomposition, 1 Algorithms, 1 Pattern, 1 Abstraction.</t>
  </si>
  <si>
    <t>Đã phát hiện và xử lý lỗi ảo tưởng (Hallucination) của AI theo yêu cầu môn học?</t>
  </si>
  <si>
    <t>Phát hiện và xử lý thành công 1 lỗi nghiêm trọng về kích thước URL dữ liệu ảnh.</t>
  </si>
  <si>
    <t>Mỗi entry đều hoàn thiện đầy đủ nội dung suy ngẫm (Human Delta &amp; Reflection)?</t>
  </si>
  <si>
    <t>100% entries hoàn chỉnh.</t>
  </si>
  <si>
    <t>Có minh chứng (Evidence) thực tế cho phần lớn các tác vụ thực hiện?</t>
  </si>
  <si>
    <t>100% có evidence rõ ràng.</t>
  </si>
  <si>
    <t xml:space="preserve"> SWP391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</si>
</sst>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5"/>
      <color rgb="FFFFFFFF"/>
      <name val="Segoe UI"/>
      <family val="2"/>
    </font>
    <font>
      <b/>
      <sz val="10"/>
      <color rgb="FF000000"/>
      <name val="Segoe UI"/>
      <family val="2"/>
    </font>
    <font>
      <sz val="10"/>
      <color rgb="FF000000"/>
      <name val="Segoe UI"/>
      <family val="2"/>
    </font>
    <font>
      <b/>
      <sz val="12"/>
      <color rgb="FF1F497D"/>
      <name val="Segoe UI"/>
      <family val="2"/>
    </font>
    <font>
      <b/>
      <sz val="11"/>
      <color rgb="FFFFFFFF"/>
      <name val="Segoe UI"/>
      <family val="2"/>
    </font>
    <font>
      <b/>
      <sz val="11"/>
      <color rgb="FF1F497D"/>
      <name val="Segoe UI"/>
      <family val="2"/>
    </font>
  </fonts>
  <fills count="6">
    <fill>
      <patternFill patternType="none"/>
    </fill>
    <fill>
      <patternFill patternType="gray125"/>
    </fill>
    <fill>
      <patternFill patternType="solid">
        <fgColor rgb="FF1F497D"/>
        <bgColor rgb="FF1F497D"/>
      </patternFill>
    </fill>
    <fill>
      <patternFill patternType="solid">
        <fgColor rgb="FFF2F5F8"/>
        <bgColor rgb="FFF2F5F8"/>
      </patternFill>
    </fill>
    <fill>
      <patternFill patternType="solid">
        <fgColor rgb="FFDCE6F1"/>
        <bgColor rgb="FFDCE6F1"/>
      </patternFill>
    </fill>
    <fill>
      <patternFill patternType="solid">
        <fgColor rgb="FFE2EFDA"/>
        <bgColor rgb="FFE2EFDA"/>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1F497D"/>
      </bottom>
      <diagonal/>
    </border>
  </borders>
  <cellStyleXfs count="1">
    <xf numFmtId="0" fontId="0" fillId="0" borderId="0"/>
  </cellStyleXfs>
  <cellXfs count="17">
    <xf numFmtId="0" fontId="0" fillId="0" borderId="0" xfId="0"/>
    <xf numFmtId="0" fontId="2" fillId="0" borderId="0" xfId="0" applyFont="1"/>
    <xf numFmtId="0" fontId="3" fillId="0" borderId="0" xfId="0" applyFont="1"/>
    <xf numFmtId="0" fontId="4" fillId="0" borderId="0" xfId="0" applyFont="1"/>
    <xf numFmtId="0" fontId="5" fillId="2" borderId="0" xfId="0" applyFont="1" applyFill="1"/>
    <xf numFmtId="0" fontId="3" fillId="0" borderId="1" xfId="0" applyFont="1" applyBorder="1"/>
    <xf numFmtId="0" fontId="6" fillId="0" borderId="0" xfId="0" applyFont="1"/>
    <xf numFmtId="0" fontId="3"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center" vertical="center" wrapText="1"/>
    </xf>
    <xf numFmtId="0" fontId="5" fillId="2" borderId="2" xfId="0" applyFont="1" applyFill="1" applyBorder="1" applyAlignment="1">
      <alignment horizontal="center" vertical="center" wrapText="1"/>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5" fillId="4" borderId="0" xfId="0" applyFont="1" applyFill="1"/>
    <xf numFmtId="0" fontId="2" fillId="5"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workbookViewId="0">
      <selection activeCell="B10" sqref="B10"/>
    </sheetView>
  </sheetViews>
  <sheetFormatPr defaultRowHeight="14.4" x14ac:dyDescent="0.3"/>
  <cols>
    <col min="1" max="1" width="54" customWidth="1"/>
    <col min="2" max="2" width="80" customWidth="1"/>
    <col min="3" max="3" width="17" customWidth="1"/>
    <col min="4" max="4" width="69" customWidth="1"/>
    <col min="5" max="5" width="12" customWidth="1"/>
  </cols>
  <sheetData>
    <row r="1" spans="1:5" x14ac:dyDescent="0.3">
      <c r="A1" s="15" t="s">
        <v>0</v>
      </c>
      <c r="B1" s="16"/>
      <c r="C1" s="16"/>
      <c r="D1" s="16"/>
      <c r="E1" s="16"/>
    </row>
    <row r="2" spans="1:5" x14ac:dyDescent="0.3">
      <c r="A2" s="16"/>
      <c r="B2" s="16"/>
      <c r="C2" s="16"/>
      <c r="D2" s="16"/>
      <c r="E2" s="16"/>
    </row>
    <row r="3" spans="1:5" ht="15" x14ac:dyDescent="0.35">
      <c r="A3" s="1"/>
      <c r="B3" s="2"/>
    </row>
    <row r="4" spans="1:5" ht="19.2" x14ac:dyDescent="0.45">
      <c r="A4" s="3" t="s">
        <v>1</v>
      </c>
      <c r="B4" s="2"/>
    </row>
    <row r="5" spans="1:5" ht="15" x14ac:dyDescent="0.35">
      <c r="A5" s="2" t="s">
        <v>2</v>
      </c>
      <c r="B5" s="2" t="s">
        <v>3</v>
      </c>
    </row>
    <row r="6" spans="1:5" ht="15" x14ac:dyDescent="0.35">
      <c r="A6" s="2" t="s">
        <v>4</v>
      </c>
      <c r="B6" s="2" t="s">
        <v>5</v>
      </c>
    </row>
    <row r="7" spans="1:5" ht="15" x14ac:dyDescent="0.35">
      <c r="A7" s="2" t="s">
        <v>6</v>
      </c>
      <c r="B7" s="2" t="s">
        <v>121</v>
      </c>
    </row>
    <row r="8" spans="1:5" ht="15" x14ac:dyDescent="0.35">
      <c r="A8" s="2" t="s">
        <v>7</v>
      </c>
      <c r="B8" s="2" t="s">
        <v>8</v>
      </c>
    </row>
    <row r="9" spans="1:5" ht="15" x14ac:dyDescent="0.35">
      <c r="A9" s="2" t="s">
        <v>9</v>
      </c>
      <c r="B9" s="2" t="s">
        <v>10</v>
      </c>
    </row>
    <row r="10" spans="1:5" ht="15" x14ac:dyDescent="0.35">
      <c r="A10" s="1"/>
      <c r="B10" s="2"/>
    </row>
    <row r="11" spans="1:5" ht="19.2" x14ac:dyDescent="0.45">
      <c r="A11" s="3" t="s">
        <v>11</v>
      </c>
      <c r="B11" s="2"/>
    </row>
    <row r="12" spans="1:5" ht="15" x14ac:dyDescent="0.35">
      <c r="A12" s="2" t="s">
        <v>12</v>
      </c>
      <c r="B12" s="2">
        <v>38</v>
      </c>
    </row>
    <row r="13" spans="1:5" ht="15" x14ac:dyDescent="0.35">
      <c r="A13" s="2" t="s">
        <v>13</v>
      </c>
      <c r="B13" s="2">
        <v>4</v>
      </c>
    </row>
    <row r="14" spans="1:5" ht="15" x14ac:dyDescent="0.35">
      <c r="A14" s="2" t="s">
        <v>14</v>
      </c>
      <c r="B14" s="1" t="e">
        <f>B12/B11</f>
        <v>#DIV/0!</v>
      </c>
    </row>
    <row r="15" spans="1:5" ht="15" x14ac:dyDescent="0.35">
      <c r="A15" s="2" t="s">
        <v>15</v>
      </c>
      <c r="B15" s="2">
        <v>1</v>
      </c>
    </row>
    <row r="16" spans="1:5" ht="15" x14ac:dyDescent="0.35">
      <c r="A16" s="1"/>
      <c r="B16" s="2"/>
    </row>
    <row r="17" spans="1:4" ht="16.8" x14ac:dyDescent="0.4">
      <c r="A17" s="4" t="s">
        <v>16</v>
      </c>
      <c r="B17" s="4" t="s">
        <v>17</v>
      </c>
      <c r="C17" s="4" t="s">
        <v>18</v>
      </c>
      <c r="D17" s="4" t="s">
        <v>19</v>
      </c>
    </row>
    <row r="18" spans="1:4" ht="15" x14ac:dyDescent="0.35">
      <c r="A18" s="5" t="s">
        <v>20</v>
      </c>
      <c r="B18" s="5" t="s">
        <v>21</v>
      </c>
      <c r="C18" s="5" t="s">
        <v>22</v>
      </c>
      <c r="D18" s="5" t="s">
        <v>23</v>
      </c>
    </row>
    <row r="19" spans="1:4" ht="15" x14ac:dyDescent="0.35">
      <c r="A19" s="5" t="s">
        <v>24</v>
      </c>
      <c r="B19" s="5" t="s">
        <v>25</v>
      </c>
      <c r="C19" s="5" t="s">
        <v>26</v>
      </c>
      <c r="D19" s="5" t="s">
        <v>27</v>
      </c>
    </row>
    <row r="22" spans="1:4" ht="16.8" x14ac:dyDescent="0.4">
      <c r="A22" s="6" t="s">
        <v>28</v>
      </c>
    </row>
    <row r="24" spans="1:4" ht="16.8" x14ac:dyDescent="0.4">
      <c r="A24" s="4" t="s">
        <v>29</v>
      </c>
      <c r="B24" s="4" t="s">
        <v>30</v>
      </c>
      <c r="C24" s="4" t="s">
        <v>31</v>
      </c>
    </row>
    <row r="25" spans="1:4" ht="15" x14ac:dyDescent="0.35">
      <c r="A25" s="5" t="s">
        <v>32</v>
      </c>
      <c r="B25" s="7">
        <v>1</v>
      </c>
      <c r="C25" s="7" t="s">
        <v>33</v>
      </c>
    </row>
    <row r="26" spans="1:4" ht="15" x14ac:dyDescent="0.35">
      <c r="A26" s="5" t="s">
        <v>34</v>
      </c>
      <c r="B26" s="7">
        <v>1</v>
      </c>
      <c r="C26" s="7" t="s">
        <v>33</v>
      </c>
    </row>
    <row r="27" spans="1:4" ht="15" x14ac:dyDescent="0.35">
      <c r="A27" s="5" t="s">
        <v>35</v>
      </c>
      <c r="B27" s="7">
        <v>1</v>
      </c>
      <c r="C27" s="7" t="s">
        <v>33</v>
      </c>
    </row>
    <row r="28" spans="1:4" ht="15" x14ac:dyDescent="0.35">
      <c r="A28" s="5" t="s">
        <v>36</v>
      </c>
      <c r="B28" s="7">
        <v>1</v>
      </c>
      <c r="C28" s="7" t="s">
        <v>33</v>
      </c>
    </row>
    <row r="29" spans="1:4" ht="15" x14ac:dyDescent="0.35">
      <c r="A29" s="8" t="s">
        <v>37</v>
      </c>
      <c r="B29" s="9">
        <f>SUM(B25:B28)</f>
        <v>4</v>
      </c>
    </row>
  </sheetData>
  <mergeCells count="1">
    <mergeCell ref="A1:E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workbookViewId="0"/>
  </sheetViews>
  <sheetFormatPr defaultRowHeight="14.4" x14ac:dyDescent="0.3"/>
  <cols>
    <col min="1" max="1" width="8" customWidth="1"/>
    <col min="2" max="2" width="18" customWidth="1"/>
    <col min="3" max="3" width="20" customWidth="1"/>
    <col min="4" max="5" width="30" customWidth="1"/>
    <col min="6" max="6" width="32" customWidth="1"/>
    <col min="7" max="7" width="38" customWidth="1"/>
    <col min="8" max="8" width="30" customWidth="1"/>
  </cols>
  <sheetData>
    <row r="1" spans="1:8" ht="28.05" customHeight="1" x14ac:dyDescent="0.3">
      <c r="A1" s="10" t="s">
        <v>38</v>
      </c>
      <c r="B1" s="10" t="s">
        <v>39</v>
      </c>
      <c r="C1" s="10" t="s">
        <v>40</v>
      </c>
      <c r="D1" s="10" t="s">
        <v>41</v>
      </c>
      <c r="E1" s="10" t="s">
        <v>42</v>
      </c>
      <c r="F1" s="10" t="s">
        <v>43</v>
      </c>
      <c r="G1" s="10" t="s">
        <v>44</v>
      </c>
      <c r="H1" s="10" t="s">
        <v>45</v>
      </c>
    </row>
    <row r="2" spans="1:8" ht="105" customHeight="1" x14ac:dyDescent="0.3">
      <c r="A2" s="9">
        <v>1</v>
      </c>
      <c r="B2" s="7" t="s">
        <v>46</v>
      </c>
      <c r="C2" s="7" t="s">
        <v>32</v>
      </c>
      <c r="D2" s="11" t="s">
        <v>47</v>
      </c>
      <c r="E2" s="11" t="s">
        <v>48</v>
      </c>
      <c r="F2" s="11" t="s">
        <v>49</v>
      </c>
      <c r="G2" s="12" t="s">
        <v>50</v>
      </c>
      <c r="H2" s="11" t="s">
        <v>51</v>
      </c>
    </row>
    <row r="3" spans="1:8" ht="105" customHeight="1" x14ac:dyDescent="0.3">
      <c r="A3" s="9">
        <v>2</v>
      </c>
      <c r="B3" s="7" t="s">
        <v>52</v>
      </c>
      <c r="C3" s="7" t="s">
        <v>36</v>
      </c>
      <c r="D3" s="11" t="s">
        <v>53</v>
      </c>
      <c r="E3" s="11" t="s">
        <v>54</v>
      </c>
      <c r="F3" s="11" t="s">
        <v>55</v>
      </c>
      <c r="G3" s="12" t="s">
        <v>56</v>
      </c>
      <c r="H3" s="11" t="s">
        <v>57</v>
      </c>
    </row>
    <row r="4" spans="1:8" ht="105" customHeight="1" x14ac:dyDescent="0.3">
      <c r="A4" s="9">
        <v>3</v>
      </c>
      <c r="B4" s="7" t="s">
        <v>58</v>
      </c>
      <c r="C4" s="7" t="s">
        <v>34</v>
      </c>
      <c r="D4" s="11" t="s">
        <v>59</v>
      </c>
      <c r="E4" s="11" t="s">
        <v>60</v>
      </c>
      <c r="F4" s="11" t="s">
        <v>61</v>
      </c>
      <c r="G4" s="12" t="s">
        <v>62</v>
      </c>
      <c r="H4" s="11" t="s">
        <v>63</v>
      </c>
    </row>
    <row r="5" spans="1:8" ht="105" customHeight="1" x14ac:dyDescent="0.3">
      <c r="A5" s="9">
        <v>4</v>
      </c>
      <c r="B5" s="7" t="s">
        <v>64</v>
      </c>
      <c r="C5" s="7" t="s">
        <v>35</v>
      </c>
      <c r="D5" s="11" t="s">
        <v>65</v>
      </c>
      <c r="E5" s="11" t="s">
        <v>66</v>
      </c>
      <c r="F5" s="11" t="s">
        <v>67</v>
      </c>
      <c r="G5" s="12" t="s">
        <v>68</v>
      </c>
      <c r="H5" s="11" t="s">
        <v>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sheetViews>
  <sheetFormatPr defaultRowHeight="14.4" x14ac:dyDescent="0.3"/>
  <cols>
    <col min="1" max="1" width="10" customWidth="1"/>
    <col min="2" max="2" width="25" customWidth="1"/>
    <col min="3" max="3" width="32" customWidth="1"/>
    <col min="4" max="4" width="35" customWidth="1"/>
    <col min="5" max="5" width="28" customWidth="1"/>
    <col min="7" max="7" width="35" customWidth="1"/>
  </cols>
  <sheetData>
    <row r="1" spans="1:6" ht="25.95" customHeight="1" x14ac:dyDescent="0.3">
      <c r="A1" s="10" t="s">
        <v>38</v>
      </c>
      <c r="B1" s="10" t="s">
        <v>70</v>
      </c>
      <c r="C1" s="10" t="s">
        <v>71</v>
      </c>
      <c r="D1" s="10" t="s">
        <v>72</v>
      </c>
      <c r="E1" s="10" t="s">
        <v>73</v>
      </c>
      <c r="F1" s="10" t="s">
        <v>74</v>
      </c>
    </row>
    <row r="2" spans="1:6" ht="109.95" customHeight="1" x14ac:dyDescent="0.3">
      <c r="A2" s="9">
        <v>1</v>
      </c>
      <c r="B2" s="7" t="s">
        <v>75</v>
      </c>
      <c r="C2" s="11" t="s">
        <v>76</v>
      </c>
      <c r="D2" s="11" t="s">
        <v>77</v>
      </c>
      <c r="E2" s="11" t="s">
        <v>78</v>
      </c>
      <c r="F2" s="11" t="s">
        <v>79</v>
      </c>
    </row>
    <row r="4" spans="1:6" ht="15" x14ac:dyDescent="0.35">
      <c r="A4" s="1" t="s">
        <v>80</v>
      </c>
    </row>
    <row r="5" spans="1:6" ht="16.8" x14ac:dyDescent="0.4">
      <c r="A5" s="13" t="s">
        <v>81</v>
      </c>
      <c r="B5" s="13" t="s">
        <v>82</v>
      </c>
    </row>
    <row r="6" spans="1:6" ht="19.95" customHeight="1" x14ac:dyDescent="0.35">
      <c r="A6" s="8" t="s">
        <v>83</v>
      </c>
      <c r="B6" s="5" t="s">
        <v>84</v>
      </c>
    </row>
    <row r="7" spans="1:6" ht="19.95" customHeight="1" x14ac:dyDescent="0.35">
      <c r="A7" s="8" t="s">
        <v>85</v>
      </c>
      <c r="B7" s="5" t="s">
        <v>86</v>
      </c>
    </row>
    <row r="8" spans="1:6" ht="19.95" customHeight="1" x14ac:dyDescent="0.35">
      <c r="A8" s="8" t="s">
        <v>87</v>
      </c>
      <c r="B8" s="5" t="s">
        <v>88</v>
      </c>
    </row>
    <row r="9" spans="1:6" ht="19.95" customHeight="1" x14ac:dyDescent="0.35">
      <c r="A9" s="8" t="s">
        <v>89</v>
      </c>
      <c r="B9" s="5" t="s">
        <v>90</v>
      </c>
    </row>
    <row r="10" spans="1:6" ht="19.95" customHeight="1" x14ac:dyDescent="0.35">
      <c r="A10" s="8" t="s">
        <v>91</v>
      </c>
      <c r="B10" s="5" t="s">
        <v>92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sheetViews>
  <sheetFormatPr defaultRowHeight="14.4" x14ac:dyDescent="0.3"/>
  <cols>
    <col min="1" max="1" width="5" customWidth="1"/>
    <col min="2" max="2" width="45" customWidth="1"/>
    <col min="3" max="3" width="15" customWidth="1"/>
    <col min="4" max="4" width="45" customWidth="1"/>
  </cols>
  <sheetData>
    <row r="1" spans="1:4" ht="19.2" x14ac:dyDescent="0.45">
      <c r="A1" s="3" t="s">
        <v>93</v>
      </c>
    </row>
    <row r="3" spans="1:4" ht="16.8" x14ac:dyDescent="0.4">
      <c r="A3" s="6" t="s">
        <v>94</v>
      </c>
    </row>
    <row r="4" spans="1:4" ht="24" customHeight="1" x14ac:dyDescent="0.4">
      <c r="A4" s="4" t="s">
        <v>95</v>
      </c>
      <c r="B4" s="4" t="s">
        <v>96</v>
      </c>
      <c r="C4" s="4" t="s">
        <v>97</v>
      </c>
      <c r="D4" s="4" t="s">
        <v>98</v>
      </c>
    </row>
    <row r="5" spans="1:4" ht="31.95" customHeight="1" x14ac:dyDescent="0.35">
      <c r="A5" s="9">
        <v>1</v>
      </c>
      <c r="B5" s="5" t="s">
        <v>99</v>
      </c>
      <c r="C5" s="14" t="s">
        <v>100</v>
      </c>
      <c r="D5" s="5" t="s">
        <v>101</v>
      </c>
    </row>
    <row r="6" spans="1:4" ht="31.95" customHeight="1" x14ac:dyDescent="0.35">
      <c r="A6" s="9">
        <v>2</v>
      </c>
      <c r="B6" s="5" t="s">
        <v>102</v>
      </c>
      <c r="C6" s="14" t="s">
        <v>100</v>
      </c>
      <c r="D6" s="5" t="s">
        <v>103</v>
      </c>
    </row>
    <row r="7" spans="1:4" ht="31.95" customHeight="1" x14ac:dyDescent="0.35">
      <c r="A7" s="9">
        <v>3</v>
      </c>
      <c r="B7" s="5" t="s">
        <v>104</v>
      </c>
      <c r="C7" s="14" t="s">
        <v>100</v>
      </c>
      <c r="D7" s="5" t="s">
        <v>105</v>
      </c>
    </row>
    <row r="8" spans="1:4" ht="31.95" customHeight="1" x14ac:dyDescent="0.35">
      <c r="A8" s="9">
        <v>4</v>
      </c>
      <c r="B8" s="5" t="s">
        <v>106</v>
      </c>
      <c r="C8" s="14" t="s">
        <v>100</v>
      </c>
      <c r="D8" s="5" t="s">
        <v>107</v>
      </c>
    </row>
    <row r="9" spans="1:4" ht="31.95" customHeight="1" x14ac:dyDescent="0.35">
      <c r="A9" s="9">
        <v>5</v>
      </c>
      <c r="B9" s="5" t="s">
        <v>108</v>
      </c>
      <c r="C9" s="14" t="s">
        <v>100</v>
      </c>
      <c r="D9" s="5" t="s">
        <v>109</v>
      </c>
    </row>
    <row r="11" spans="1:4" ht="16.8" x14ac:dyDescent="0.4">
      <c r="A11" s="6" t="s">
        <v>110</v>
      </c>
    </row>
    <row r="12" spans="1:4" ht="24" customHeight="1" x14ac:dyDescent="0.4">
      <c r="A12" s="4" t="s">
        <v>95</v>
      </c>
      <c r="B12" s="4" t="s">
        <v>96</v>
      </c>
      <c r="C12" s="4" t="s">
        <v>97</v>
      </c>
      <c r="D12" s="4" t="s">
        <v>98</v>
      </c>
    </row>
    <row r="13" spans="1:4" ht="31.95" customHeight="1" x14ac:dyDescent="0.35">
      <c r="A13" s="9">
        <v>1</v>
      </c>
      <c r="B13" s="5" t="s">
        <v>111</v>
      </c>
      <c r="C13" s="14" t="s">
        <v>100</v>
      </c>
      <c r="D13" s="5" t="s">
        <v>112</v>
      </c>
    </row>
    <row r="14" spans="1:4" ht="31.95" customHeight="1" x14ac:dyDescent="0.35">
      <c r="A14" s="9">
        <v>2</v>
      </c>
      <c r="B14" s="5" t="s">
        <v>113</v>
      </c>
      <c r="C14" s="14" t="s">
        <v>100</v>
      </c>
      <c r="D14" s="5" t="s">
        <v>114</v>
      </c>
    </row>
    <row r="15" spans="1:4" ht="31.95" customHeight="1" x14ac:dyDescent="0.35">
      <c r="A15" s="9">
        <v>3</v>
      </c>
      <c r="B15" s="5" t="s">
        <v>115</v>
      </c>
      <c r="C15" s="14" t="s">
        <v>100</v>
      </c>
      <c r="D15" s="5" t="s">
        <v>116</v>
      </c>
    </row>
    <row r="16" spans="1:4" ht="31.95" customHeight="1" x14ac:dyDescent="0.35">
      <c r="A16" s="9">
        <v>4</v>
      </c>
      <c r="B16" s="5" t="s">
        <v>117</v>
      </c>
      <c r="C16" s="14" t="s">
        <v>100</v>
      </c>
      <c r="D16" s="5" t="s">
        <v>118</v>
      </c>
    </row>
    <row r="17" spans="1:4" ht="31.95" customHeight="1" x14ac:dyDescent="0.35">
      <c r="A17" s="9">
        <v>5</v>
      </c>
      <c r="B17" s="5" t="s">
        <v>119</v>
      </c>
      <c r="C17" s="14" t="s">
        <v>100</v>
      </c>
      <c r="D17" s="5"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chucaohuy1082005@outlook.com</cp:lastModifiedBy>
  <dcterms:created xsi:type="dcterms:W3CDTF">2026-06-16T07:41:41Z</dcterms:created>
  <dcterms:modified xsi:type="dcterms:W3CDTF">2026-06-16T07:43:38Z</dcterms:modified>
</cp:coreProperties>
</file>